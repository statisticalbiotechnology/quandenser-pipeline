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8c90dcc6593d31/Code/quandenser-pipeline/quandenser-pipeline/doc/paper/data/"/>
    </mc:Choice>
  </mc:AlternateContent>
  <xr:revisionPtr revIDLastSave="115" documentId="8_{835331CA-B42D-4C3F-A9CD-BD803CEDF53B}" xr6:coauthVersionLast="45" xr6:coauthVersionMax="45" xr10:uidLastSave="{15134077-4D9C-49B1-BA4B-D288A28A5AEC}"/>
  <bookViews>
    <workbookView xWindow="9900" yWindow="2310" windowWidth="19320" windowHeight="1138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1" l="1" a="1"/>
  <c r="F33" i="1" a="1"/>
  <c r="E33" i="1" a="1"/>
  <c r="F28" i="1" a="1"/>
  <c r="E28" i="1" a="1"/>
  <c r="D28" i="1" a="1"/>
  <c r="F23" i="1" a="1"/>
  <c r="E23" i="1" a="1"/>
  <c r="D23" i="1" a="1"/>
  <c r="D33" i="1" l="1"/>
  <c r="F33" i="1"/>
  <c r="E33" i="1"/>
  <c r="F28" i="1"/>
  <c r="E28" i="1"/>
  <c r="D28" i="1"/>
  <c r="F23" i="1"/>
  <c r="E23" i="1"/>
  <c r="D2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<sst xmlns="http://schemas.openxmlformats.org/spreadsheetml/2006/main" count="66" uniqueCount="11">
  <si>
    <t>Run</t>
  </si>
  <si>
    <t>Data set</t>
  </si>
  <si>
    <t>Replicates</t>
  </si>
  <si>
    <t>QP (parallel)</t>
  </si>
  <si>
    <t>QP (non-parallel)</t>
  </si>
  <si>
    <t>QP HPC (parallel)</t>
  </si>
  <si>
    <t>QP HPC (non-parallel)</t>
  </si>
  <si>
    <t>MaxQuant mbr</t>
  </si>
  <si>
    <t>Geyer (118 files)</t>
  </si>
  <si>
    <t>Bracht (27 files)</t>
  </si>
  <si>
    <t>Latosinska (8 files)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</si>
</sst>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1" fontId="0" fillId="0" borderId="0" xfId="0" applyNumberFormat="1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F33"/>
  <sheetViews>
    <sheetView tabSelected="1" workbookViewId="0">
      <selection activeCell="F33" sqref="F33"/>
    </sheetView>
  </sheetViews>
  <sheetFormatPr defaultRowHeight="15" x14ac:dyDescent="0.25"/>
  <cols>
    <col min="1" max="1" width="17.85546875" customWidth="1"/>
    <col min="2" max="2" width="21.85546875" customWidth="1"/>
    <col min="3" max="3" width="10" customWidth="1"/>
    <col min="4" max="4" width="11.5703125" bestFit="1" customWidth="1"/>
    <col min="7" max="7" width="18.42578125" customWidth="1"/>
  </cols>
  <sheetData>
    <row r="1" spans="1:6" x14ac:dyDescent="0.25">
      <c r="A1" s="2" t="s">
        <v>1</v>
      </c>
      <c r="B1" s="2" t="s">
        <v>0</v>
      </c>
      <c r="C1" s="2" t="s">
        <v>2</v>
      </c>
    </row>
    <row r="2" spans="1:6" x14ac:dyDescent="0.25">
      <c r="A2" t="s">
        <v>8</v>
      </c>
      <c r="B2" t="s">
        <v>3</v>
      </c>
      <c r="C2">
        <v>3</v>
      </c>
      <c r="D2" s="1">
        <v>0.25568287037037035</v>
      </c>
      <c r="E2" s="1">
        <v>0.25658564814814816</v>
      </c>
      <c r="F2" s="1">
        <v>0.26210648148148147</v>
      </c>
    </row>
    <row r="3" spans="1:6" x14ac:dyDescent="0.25">
      <c r="A3" t="s">
        <v>8</v>
      </c>
      <c r="B3" t="s">
        <v>4</v>
      </c>
      <c r="C3">
        <v>3</v>
      </c>
      <c r="D3" s="1">
        <v>0.28283564814814816</v>
      </c>
      <c r="E3" s="1">
        <v>0.2970949074074074</v>
      </c>
      <c r="F3" s="1">
        <v>0.29089120370370369</v>
      </c>
    </row>
    <row r="4" spans="1:6" x14ac:dyDescent="0.25">
      <c r="A4" t="s">
        <v>8</v>
      </c>
      <c r="B4" t="s">
        <v>5</v>
      </c>
      <c r="C4">
        <v>3</v>
      </c>
    </row>
    <row r="5" spans="1:6" x14ac:dyDescent="0.25">
      <c r="A5" t="s">
        <v>8</v>
      </c>
      <c r="B5" t="s">
        <v>6</v>
      </c>
      <c r="C5">
        <v>3</v>
      </c>
      <c r="D5" s="1">
        <v>0.41491898148148149</v>
      </c>
      <c r="E5" s="1">
        <v>0.39623842592592595</v>
      </c>
      <c r="F5" s="1">
        <v>0.38550925925925927</v>
      </c>
    </row>
    <row r="6" spans="1:6" x14ac:dyDescent="0.25">
      <c r="A6" t="s">
        <v>8</v>
      </c>
      <c r="B6" t="s">
        <v>7</v>
      </c>
      <c r="C6">
        <v>3</v>
      </c>
      <c r="D6" s="1">
        <v>0.97942129629629626</v>
      </c>
      <c r="E6" s="1">
        <v>0.98318287037037033</v>
      </c>
      <c r="F6" s="1">
        <v>0.98270833333333341</v>
      </c>
    </row>
    <row r="7" spans="1:6" x14ac:dyDescent="0.25">
      <c r="A7" t="s">
        <v>9</v>
      </c>
      <c r="B7" t="s">
        <v>3</v>
      </c>
      <c r="C7">
        <v>3</v>
      </c>
      <c r="D7" s="1">
        <v>5.4814814814814816E-2</v>
      </c>
      <c r="E7" s="1">
        <v>5.3622685185185183E-2</v>
      </c>
      <c r="F7" s="1">
        <v>5.1076388888888886E-2</v>
      </c>
    </row>
    <row r="8" spans="1:6" x14ac:dyDescent="0.25">
      <c r="A8" t="s">
        <v>9</v>
      </c>
      <c r="B8" t="s">
        <v>4</v>
      </c>
      <c r="C8">
        <v>3</v>
      </c>
      <c r="D8" s="1">
        <v>6.9652777777777772E-2</v>
      </c>
      <c r="E8" s="1">
        <v>6.9594907407407411E-2</v>
      </c>
      <c r="F8" s="1">
        <v>6.5902777777777768E-2</v>
      </c>
    </row>
    <row r="9" spans="1:6" x14ac:dyDescent="0.25">
      <c r="A9" t="s">
        <v>9</v>
      </c>
      <c r="B9" t="s">
        <v>5</v>
      </c>
      <c r="C9">
        <v>3</v>
      </c>
    </row>
    <row r="10" spans="1:6" x14ac:dyDescent="0.25">
      <c r="A10" t="s">
        <v>9</v>
      </c>
      <c r="B10" t="s">
        <v>6</v>
      </c>
      <c r="C10">
        <v>3</v>
      </c>
      <c r="D10" s="1">
        <v>0.1030787037037037</v>
      </c>
      <c r="E10" s="1">
        <v>0.1108912037037037</v>
      </c>
      <c r="F10" s="1">
        <v>0.11994212962962963</v>
      </c>
    </row>
    <row r="11" spans="1:6" x14ac:dyDescent="0.25">
      <c r="A11" t="s">
        <v>9</v>
      </c>
      <c r="B11" t="s">
        <v>7</v>
      </c>
      <c r="C11">
        <v>3</v>
      </c>
      <c r="D11" s="1">
        <v>0.1784259259259259</v>
      </c>
      <c r="E11" s="1">
        <v>0.18510416666666665</v>
      </c>
      <c r="F11" s="1">
        <v>0.18539351851851851</v>
      </c>
    </row>
    <row r="12" spans="1:6" x14ac:dyDescent="0.25">
      <c r="A12" t="s">
        <v>10</v>
      </c>
      <c r="B12" t="s">
        <v>3</v>
      </c>
      <c r="C12">
        <v>3</v>
      </c>
      <c r="D12" s="1">
        <v>3.8680555555555558E-2</v>
      </c>
      <c r="E12" s="1">
        <v>3.8726851851851853E-2</v>
      </c>
      <c r="F12" s="1">
        <v>3.9016203703703699E-2</v>
      </c>
    </row>
    <row r="13" spans="1:6" x14ac:dyDescent="0.25">
      <c r="A13" t="s">
        <v>10</v>
      </c>
      <c r="B13" t="s">
        <v>4</v>
      </c>
      <c r="C13">
        <v>3</v>
      </c>
      <c r="D13" s="1">
        <v>4.9027777777777781E-2</v>
      </c>
      <c r="E13" s="1">
        <v>4.8692129629629627E-2</v>
      </c>
      <c r="F13" s="1">
        <v>4.9953703703703702E-2</v>
      </c>
    </row>
    <row r="14" spans="1:6" x14ac:dyDescent="0.25">
      <c r="A14" t="s">
        <v>10</v>
      </c>
      <c r="B14" t="s">
        <v>5</v>
      </c>
      <c r="C14">
        <v>3</v>
      </c>
    </row>
    <row r="15" spans="1:6" x14ac:dyDescent="0.25">
      <c r="A15" t="s">
        <v>10</v>
      </c>
      <c r="B15" t="s">
        <v>6</v>
      </c>
      <c r="C15">
        <v>3</v>
      </c>
      <c r="D15" s="1">
        <v>8.0625000000000002E-2</v>
      </c>
      <c r="E15" s="1">
        <v>9.6342592592592591E-2</v>
      </c>
      <c r="F15" s="1">
        <v>8.5810185185185184E-2</v>
      </c>
    </row>
    <row r="16" spans="1:6" x14ac:dyDescent="0.25">
      <c r="A16" t="s">
        <v>10</v>
      </c>
      <c r="B16" t="s">
        <v>7</v>
      </c>
      <c r="C16">
        <v>3</v>
      </c>
      <c r="D16" s="1">
        <v>7.1736111111111112E-2</v>
      </c>
      <c r="E16" s="1">
        <v>7.1550925925925921E-2</v>
      </c>
      <c r="F16" s="1">
        <v>7.2604166666666664E-2</v>
      </c>
    </row>
    <row r="18" spans="1:6" x14ac:dyDescent="0.25">
      <c r="A18" s="2" t="s">
        <v>1</v>
      </c>
      <c r="B18" s="2" t="s">
        <v>0</v>
      </c>
      <c r="C18" s="2" t="s">
        <v>2</v>
      </c>
    </row>
    <row r="19" spans="1:6" x14ac:dyDescent="0.25">
      <c r="A19" t="s">
        <v>8</v>
      </c>
      <c r="B19" t="s">
        <v>3</v>
      </c>
      <c r="C19">
        <v>3</v>
      </c>
      <c r="D19" s="3">
        <v>17.899999999999999</v>
      </c>
      <c r="E19" s="3">
        <v>17.8</v>
      </c>
      <c r="F19" s="3">
        <v>17.8</v>
      </c>
    </row>
    <row r="20" spans="1:6" x14ac:dyDescent="0.25">
      <c r="A20" t="s">
        <v>8</v>
      </c>
      <c r="B20" t="s">
        <v>4</v>
      </c>
      <c r="C20">
        <v>3</v>
      </c>
      <c r="D20" s="3">
        <v>11.1</v>
      </c>
      <c r="E20" s="3">
        <v>11.3</v>
      </c>
      <c r="F20" s="3">
        <v>12</v>
      </c>
    </row>
    <row r="21" spans="1:6" x14ac:dyDescent="0.25">
      <c r="A21" t="s">
        <v>8</v>
      </c>
      <c r="B21" t="s">
        <v>5</v>
      </c>
      <c r="C21">
        <v>3</v>
      </c>
      <c r="D21" s="3"/>
      <c r="E21" s="3"/>
      <c r="F21" s="3"/>
    </row>
    <row r="22" spans="1:6" x14ac:dyDescent="0.25">
      <c r="A22" t="s">
        <v>8</v>
      </c>
      <c r="B22" t="s">
        <v>6</v>
      </c>
      <c r="C22">
        <v>3</v>
      </c>
      <c r="D22" s="3">
        <v>138.9</v>
      </c>
      <c r="E22" s="3">
        <v>138.6</v>
      </c>
      <c r="F22" s="3">
        <v>124.7</v>
      </c>
    </row>
    <row r="23" spans="1:6" x14ac:dyDescent="0.25">
      <c r="A23" t="s">
        <v>8</v>
      </c>
      <c r="B23" t="s">
        <v>7</v>
      </c>
      <c r="C23">
        <v>3</v>
      </c>
      <c r="D23" s="3" cm="1">
        <f t="array" ref="D23">CoreHours("23:30:22",348)</f>
        <v>81.78212666666667</v>
      </c>
      <c r="E23" s="3" cm="1">
        <f t="array" ref="E23">CoreHours("23:35:47",347)</f>
        <v>81.838696944444436</v>
      </c>
      <c r="F23" s="3" cm="1">
        <f t="array" ref="F23">CoreHours("23:35:06",347)</f>
        <v>81.834744999999998</v>
      </c>
    </row>
    <row r="24" spans="1:6" x14ac:dyDescent="0.25">
      <c r="A24" t="s">
        <v>9</v>
      </c>
      <c r="B24" t="s">
        <v>3</v>
      </c>
      <c r="C24">
        <v>3</v>
      </c>
      <c r="D24" s="3">
        <v>4.0999999999999996</v>
      </c>
      <c r="E24" s="3">
        <v>4.0999999999999996</v>
      </c>
      <c r="F24" s="3">
        <v>3.9</v>
      </c>
    </row>
    <row r="25" spans="1:6" x14ac:dyDescent="0.25">
      <c r="A25" t="s">
        <v>9</v>
      </c>
      <c r="B25" t="s">
        <v>4</v>
      </c>
      <c r="C25">
        <v>3</v>
      </c>
      <c r="D25" s="3">
        <v>3.2</v>
      </c>
      <c r="E25" s="3">
        <v>3.1</v>
      </c>
      <c r="F25" s="3">
        <v>3</v>
      </c>
    </row>
    <row r="26" spans="1:6" x14ac:dyDescent="0.25">
      <c r="A26" t="s">
        <v>9</v>
      </c>
      <c r="B26" t="s">
        <v>5</v>
      </c>
      <c r="C26">
        <v>3</v>
      </c>
      <c r="D26" s="3"/>
      <c r="E26" s="3"/>
      <c r="F26" s="3"/>
    </row>
    <row r="27" spans="1:6" x14ac:dyDescent="0.25">
      <c r="A27" t="s">
        <v>9</v>
      </c>
      <c r="B27" t="s">
        <v>6</v>
      </c>
      <c r="C27">
        <v>3</v>
      </c>
      <c r="D27" s="3">
        <v>29</v>
      </c>
      <c r="E27" s="3">
        <v>30.8</v>
      </c>
      <c r="F27" s="3">
        <v>34.5</v>
      </c>
    </row>
    <row r="28" spans="1:6" x14ac:dyDescent="0.25">
      <c r="A28" t="s">
        <v>9</v>
      </c>
      <c r="B28" t="s">
        <v>7</v>
      </c>
      <c r="C28">
        <v>3</v>
      </c>
      <c r="D28" s="3" cm="1">
        <f t="array" ref="D28">CoreHours("4:16:56",362)</f>
        <v>15.450964444444446</v>
      </c>
      <c r="E28" s="3" cm="1">
        <f t="array" ref="E28">CoreHours("4:26:33",361)</f>
        <v>16.007642500000003</v>
      </c>
      <c r="F28" s="3" cm="1">
        <f t="array" ref="F28">CoreHours("4:26:58",360)</f>
        <v>15.965800000000002</v>
      </c>
    </row>
    <row r="29" spans="1:6" x14ac:dyDescent="0.25">
      <c r="A29" t="s">
        <v>10</v>
      </c>
      <c r="B29" t="s">
        <v>3</v>
      </c>
      <c r="C29">
        <v>3</v>
      </c>
      <c r="D29" s="3">
        <v>2.5</v>
      </c>
      <c r="E29" s="3">
        <v>2.6</v>
      </c>
      <c r="F29" s="3">
        <v>2.4</v>
      </c>
    </row>
    <row r="30" spans="1:6" x14ac:dyDescent="0.25">
      <c r="A30" t="s">
        <v>10</v>
      </c>
      <c r="B30" t="s">
        <v>4</v>
      </c>
      <c r="C30">
        <v>3</v>
      </c>
      <c r="D30" s="3">
        <v>1.8</v>
      </c>
      <c r="E30" s="3">
        <v>1.8</v>
      </c>
      <c r="F30" s="3">
        <v>1.8</v>
      </c>
    </row>
    <row r="31" spans="1:6" x14ac:dyDescent="0.25">
      <c r="A31" t="s">
        <v>10</v>
      </c>
      <c r="B31" t="s">
        <v>5</v>
      </c>
      <c r="C31">
        <v>3</v>
      </c>
      <c r="D31" s="3"/>
      <c r="E31" s="3"/>
      <c r="F31" s="3"/>
    </row>
    <row r="32" spans="1:6" x14ac:dyDescent="0.25">
      <c r="A32" t="s">
        <v>10</v>
      </c>
      <c r="B32" t="s">
        <v>6</v>
      </c>
      <c r="C32">
        <v>3</v>
      </c>
      <c r="D32" s="3">
        <v>18.2</v>
      </c>
      <c r="E32" s="3">
        <v>20.2</v>
      </c>
      <c r="F32" s="3">
        <v>18</v>
      </c>
    </row>
    <row r="33" spans="1:6" x14ac:dyDescent="0.25">
      <c r="A33" t="s">
        <v>10</v>
      </c>
      <c r="B33" t="s">
        <v>7</v>
      </c>
      <c r="C33">
        <v>3</v>
      </c>
      <c r="D33" s="3" cm="1">
        <f t="array" ref="D33">CoreHours("1:43:18",357)</f>
        <v>6.1302849999999998</v>
      </c>
      <c r="E33" s="3" cm="1">
        <f t="array" ref="E33">CoreHours("1:43:02",357)</f>
        <v>6.1286983333333334</v>
      </c>
      <c r="F33" s="3" cm="1">
        <f t="array" ref="F33">CoreHours("1:44:33",354)</f>
        <v>6.1392450000000007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Bergström</dc:creator>
  <cp:lastModifiedBy>Timothy Bergström</cp:lastModifiedBy>
  <dcterms:created xsi:type="dcterms:W3CDTF">2015-06-05T18:17:20Z</dcterms:created>
  <dcterms:modified xsi:type="dcterms:W3CDTF">2019-12-01T19:54:02Z</dcterms:modified>
</cp:coreProperties>
</file>